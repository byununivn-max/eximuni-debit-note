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거래처 비교" sheetId="1" state="visible" r:id="rId3"/>
    <sheet name="복잡도 분석" sheetId="2" state="visible" r:id="rId4"/>
    <sheet name="구조유형 분포" sheetId="3" state="visible" r:id="rId5"/>
    <sheet name="통화 패턴" sheetId="4" state="visible" r:id="rId6"/>
    <sheet name="개발 단계별 분류" sheetId="5" state="visible" r:id="rId7"/>
  </sheets>
  <definedNames>
    <definedName function="false" hidden="true" localSheetId="4" name="_xlnm._FilterDatabase" vbProcedure="false">'개발 단계별 분류'!$A$1:$G$11</definedName>
    <definedName function="false" hidden="true" localSheetId="2" name="_xlnm._FilterDatabase" vbProcedure="false">'구조유형 분포'!$A$1:$C$5</definedName>
    <definedName function="false" hidden="true" localSheetId="1" name="_xlnm._FilterDatabase" vbProcedure="false">'복잡도 분석'!$A$1:$D$4</definedName>
    <definedName function="false" hidden="true" localSheetId="0" name="_xlnm._FilterDatabase" vbProcedure="false">'전체 거래처 비교'!$A$1:$I$32</definedName>
    <definedName function="false" hidden="true" localSheetId="3" name="_xlnm._FilterDatabase" vbProcedure="false">'통화 패턴'!$A$1:$C$3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<sst xmlns="http://schemas.openxmlformats.org/spreadsheetml/2006/main" count="253" uniqueCount="98">
  <si>
    <t xml:space="preserve">No.</t>
  </si>
  <si>
    <t xml:space="preserve">거래처명</t>
  </si>
  <si>
    <t xml:space="preserve">배치</t>
  </si>
  <si>
    <t xml:space="preserve">시트수</t>
  </si>
  <si>
    <t xml:space="preserve">구조유형</t>
  </si>
  <si>
    <t xml:space="preserve">통화</t>
  </si>
  <si>
    <t xml:space="preserve">수수료컬럼</t>
  </si>
  <si>
    <t xml:space="preserve">수식수</t>
  </si>
  <si>
    <t xml:space="preserve">복잡도</t>
  </si>
  <si>
    <t xml:space="preserve">CJU OCT</t>
  </si>
  <si>
    <t xml:space="preserve">Batch 1</t>
  </si>
  <si>
    <t xml:space="preserve">Multiple sheets</t>
  </si>
  <si>
    <t xml:space="preserve">VND</t>
  </si>
  <si>
    <t xml:space="preserve">Low</t>
  </si>
  <si>
    <t xml:space="preserve">ACE INT</t>
  </si>
  <si>
    <t xml:space="preserve">IM/EX separated</t>
  </si>
  <si>
    <t xml:space="preserve">VND/USD</t>
  </si>
  <si>
    <t xml:space="preserve">Medium</t>
  </si>
  <si>
    <t xml:space="preserve">ASIA LOGISTICS</t>
  </si>
  <si>
    <t xml:space="preserve">Multi-sheet</t>
  </si>
  <si>
    <t xml:space="preserve">ASIA SHIPPING</t>
  </si>
  <si>
    <t xml:space="preserve">High</t>
  </si>
  <si>
    <t xml:space="preserve">BELAL</t>
  </si>
  <si>
    <t xml:space="preserve">CBPO</t>
  </si>
  <si>
    <t xml:space="preserve">Single sheet</t>
  </si>
  <si>
    <t xml:space="preserve">NEXCON</t>
  </si>
  <si>
    <t xml:space="preserve">NKL VIETNAM</t>
  </si>
  <si>
    <t xml:space="preserve">PAN PACIFIC</t>
  </si>
  <si>
    <t xml:space="preserve">SOLARPOWER</t>
  </si>
  <si>
    <t xml:space="preserve">SUNGLOBE</t>
  </si>
  <si>
    <t xml:space="preserve">SUNWIN</t>
  </si>
  <si>
    <t xml:space="preserve">SUNTEX</t>
  </si>
  <si>
    <t xml:space="preserve">Combined</t>
  </si>
  <si>
    <t xml:space="preserve">TRITON</t>
  </si>
  <si>
    <t xml:space="preserve">VINIWELL</t>
  </si>
  <si>
    <t xml:space="preserve">VMEC</t>
  </si>
  <si>
    <t xml:space="preserve">VNE</t>
  </si>
  <si>
    <t xml:space="preserve">VTECH</t>
  </si>
  <si>
    <t xml:space="preserve">ALSDN</t>
  </si>
  <si>
    <t xml:space="preserve">Batch 2</t>
  </si>
  <si>
    <t xml:space="preserve">ASENTEC</t>
  </si>
  <si>
    <t xml:space="preserve">P&amp;S VINA</t>
  </si>
  <si>
    <t xml:space="preserve">SEDO</t>
  </si>
  <si>
    <t xml:space="preserve">SEOJIN AUTO</t>
  </si>
  <si>
    <t xml:space="preserve">SEOJIN SYSTEM</t>
  </si>
  <si>
    <t xml:space="preserve">SEOJIN VN</t>
  </si>
  <si>
    <t xml:space="preserve">DONGSUH</t>
  </si>
  <si>
    <t xml:space="preserve">CS BEARING</t>
  </si>
  <si>
    <t xml:space="preserve">SAMHO</t>
  </si>
  <si>
    <t xml:space="preserve">VINHKHANH</t>
  </si>
  <si>
    <t xml:space="preserve">SAV-UNI</t>
  </si>
  <si>
    <t xml:space="preserve">SAVINA</t>
  </si>
  <si>
    <t xml:space="preserve">TOTAL</t>
  </si>
  <si>
    <t xml:space="preserve">복잡도 등급</t>
  </si>
  <si>
    <t xml:space="preserve">거래처수</t>
  </si>
  <si>
    <t xml:space="preserve">비율</t>
  </si>
  <si>
    <t xml:space="preserve">해당 거래처</t>
  </si>
  <si>
    <t xml:space="preserve">26%</t>
  </si>
  <si>
    <t xml:space="preserve">CJU OCT, CBPO, SUNGLOBE, SUNTEX, VINIWELL, VTECH, P&amp;S VINA, SAVINA</t>
  </si>
  <si>
    <t xml:space="preserve">48%</t>
  </si>
  <si>
    <t xml:space="preserve">ACE INT, ASIA LOGISTICS, BELAL, NKL VIETNAM, SOLARPOWER, SUNWIN, VMEC, ALSDN, ASENTEC, SEOJIN AUTO, SEOJIN SYSTEM, SEOJIN VN, CS BEARING, SAMHO, VINHKHANH</t>
  </si>
  <si>
    <t xml:space="preserve">ASIA SHIPPING, NEXCON, PAN PACIFIC, TRITON, VNE, SEDO, DONGSUH, SAV-UNI</t>
  </si>
  <si>
    <t xml:space="preserve">55%</t>
  </si>
  <si>
    <t xml:space="preserve">35%</t>
  </si>
  <si>
    <t xml:space="preserve">13%</t>
  </si>
  <si>
    <t xml:space="preserve">6%</t>
  </si>
  <si>
    <t xml:space="preserve">통화유형</t>
  </si>
  <si>
    <t xml:space="preserve">VND Only</t>
  </si>
  <si>
    <t xml:space="preserve">84%</t>
  </si>
  <si>
    <t xml:space="preserve">Mixed VND/USD</t>
  </si>
  <si>
    <t xml:space="preserve">16%</t>
  </si>
  <si>
    <t xml:space="preserve">개발단계</t>
  </si>
  <si>
    <t xml:space="preserve">구분</t>
  </si>
  <si>
    <t xml:space="preserve">목적</t>
  </si>
  <si>
    <t xml:space="preserve">Phase 1</t>
  </si>
  <si>
    <t xml:space="preserve">Baseline</t>
  </si>
  <si>
    <t xml:space="preserve">SUNGJU</t>
  </si>
  <si>
    <r>
      <rPr>
        <sz val="10"/>
        <rFont val="DejaVu Sans"/>
        <family val="2"/>
      </rPr>
      <t xml:space="preserve">핵심 기능 구현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단순 구조</t>
    </r>
    <r>
      <rPr>
        <sz val="10"/>
        <rFont val="Arial"/>
        <family val="0"/>
        <charset val="1"/>
      </rPr>
      <t xml:space="preserve">)</t>
    </r>
  </si>
  <si>
    <t xml:space="preserve">LONGBINH</t>
  </si>
  <si>
    <t xml:space="preserve">Phase 2</t>
  </si>
  <si>
    <t xml:space="preserve">Intermediate</t>
  </si>
  <si>
    <t xml:space="preserve">CJU</t>
  </si>
  <si>
    <t xml:space="preserve">멀티시트 및 텍스트 수식 처리</t>
  </si>
  <si>
    <t xml:space="preserve">HI KNIT</t>
  </si>
  <si>
    <t xml:space="preserve">SAMIL</t>
  </si>
  <si>
    <t xml:space="preserve">Phase 3</t>
  </si>
  <si>
    <t xml:space="preserve">Advanced</t>
  </si>
  <si>
    <t xml:space="preserve">A&amp;E</t>
  </si>
  <si>
    <r>
      <rPr>
        <sz val="10"/>
        <rFont val="Arial"/>
        <family val="0"/>
        <charset val="1"/>
      </rPr>
      <t xml:space="preserve">IM/EX </t>
    </r>
    <r>
      <rPr>
        <sz val="10"/>
        <rFont val="DejaVu Sans"/>
        <family val="2"/>
      </rPr>
      <t xml:space="preserve">분리 및 통화 혼합</t>
    </r>
  </si>
  <si>
    <t xml:space="preserve">AMPHENOL</t>
  </si>
  <si>
    <t xml:space="preserve">Mixed</t>
  </si>
  <si>
    <t xml:space="preserve">DUKE</t>
  </si>
  <si>
    <r>
      <rPr>
        <sz val="10"/>
        <rFont val="Arial"/>
        <family val="0"/>
        <charset val="1"/>
      </rPr>
      <t xml:space="preserve">IM/EX </t>
    </r>
    <r>
      <rPr>
        <sz val="10"/>
        <rFont val="DejaVu Sans"/>
        <family val="2"/>
      </rPr>
      <t xml:space="preserve">분리 및 텍스트 수식</t>
    </r>
  </si>
  <si>
    <t xml:space="preserve">Phase 4</t>
  </si>
  <si>
    <t xml:space="preserve">Maximum</t>
  </si>
  <si>
    <t xml:space="preserve">IM/INZI</t>
  </si>
  <si>
    <t xml:space="preserve">복잡 멀티시트 및 다수 수수료컬럼</t>
  </si>
  <si>
    <t xml:space="preserve">DM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</si>
</sst>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1</v>
      </c>
      <c r="B2" s="4" t="s">
        <v>9</v>
      </c>
      <c r="C2" s="3" t="s">
        <v>10</v>
      </c>
      <c r="D2" s="3" t="n">
        <v>2</v>
      </c>
      <c r="E2" s="4" t="s">
        <v>11</v>
      </c>
      <c r="F2" s="4" t="s">
        <v>12</v>
      </c>
      <c r="G2" s="3" t="n">
        <v>1</v>
      </c>
      <c r="H2" s="3" t="n">
        <v>18</v>
      </c>
      <c r="I2" s="5" t="s">
        <v>13</v>
      </c>
    </row>
    <row r="3" customFormat="false" ht="15" hidden="false" customHeight="false" outlineLevel="0" collapsed="false">
      <c r="A3" s="6" t="n">
        <v>2</v>
      </c>
      <c r="B3" s="7" t="s">
        <v>14</v>
      </c>
      <c r="C3" s="6" t="s">
        <v>10</v>
      </c>
      <c r="D3" s="6" t="n">
        <v>2</v>
      </c>
      <c r="E3" s="7" t="s">
        <v>15</v>
      </c>
      <c r="F3" s="7" t="s">
        <v>16</v>
      </c>
      <c r="G3" s="6" t="n">
        <v>2</v>
      </c>
      <c r="H3" s="6" t="n">
        <v>22</v>
      </c>
      <c r="I3" s="8" t="s">
        <v>17</v>
      </c>
    </row>
    <row r="4" customFormat="false" ht="15" hidden="false" customHeight="false" outlineLevel="0" collapsed="false">
      <c r="A4" s="3" t="n">
        <v>3</v>
      </c>
      <c r="B4" s="4" t="s">
        <v>18</v>
      </c>
      <c r="C4" s="3" t="s">
        <v>10</v>
      </c>
      <c r="D4" s="3" t="n">
        <v>6</v>
      </c>
      <c r="E4" s="4" t="s">
        <v>19</v>
      </c>
      <c r="F4" s="4" t="s">
        <v>16</v>
      </c>
      <c r="G4" s="3" t="n">
        <v>2</v>
      </c>
      <c r="H4" s="3" t="n">
        <v>35</v>
      </c>
      <c r="I4" s="8" t="s">
        <v>17</v>
      </c>
    </row>
    <row r="5" customFormat="false" ht="15" hidden="false" customHeight="false" outlineLevel="0" collapsed="false">
      <c r="A5" s="6" t="n">
        <v>4</v>
      </c>
      <c r="B5" s="7" t="s">
        <v>20</v>
      </c>
      <c r="C5" s="6" t="s">
        <v>10</v>
      </c>
      <c r="D5" s="6" t="n">
        <v>7</v>
      </c>
      <c r="E5" s="7" t="s">
        <v>19</v>
      </c>
      <c r="F5" s="7" t="s">
        <v>16</v>
      </c>
      <c r="G5" s="6" t="n">
        <v>3</v>
      </c>
      <c r="H5" s="6" t="n">
        <v>42</v>
      </c>
      <c r="I5" s="9" t="s">
        <v>21</v>
      </c>
    </row>
    <row r="6" customFormat="false" ht="15" hidden="false" customHeight="false" outlineLevel="0" collapsed="false">
      <c r="A6" s="3" t="n">
        <v>5</v>
      </c>
      <c r="B6" s="4" t="s">
        <v>22</v>
      </c>
      <c r="C6" s="3" t="s">
        <v>10</v>
      </c>
      <c r="D6" s="3" t="n">
        <v>4</v>
      </c>
      <c r="E6" s="4" t="s">
        <v>19</v>
      </c>
      <c r="F6" s="4" t="s">
        <v>12</v>
      </c>
      <c r="G6" s="3" t="n">
        <v>2</v>
      </c>
      <c r="H6" s="3" t="n">
        <v>28</v>
      </c>
      <c r="I6" s="8" t="s">
        <v>17</v>
      </c>
    </row>
    <row r="7" customFormat="false" ht="15" hidden="false" customHeight="false" outlineLevel="0" collapsed="false">
      <c r="A7" s="6" t="n">
        <v>6</v>
      </c>
      <c r="B7" s="7" t="s">
        <v>23</v>
      </c>
      <c r="C7" s="6" t="s">
        <v>10</v>
      </c>
      <c r="D7" s="6" t="n">
        <v>1</v>
      </c>
      <c r="E7" s="7" t="s">
        <v>24</v>
      </c>
      <c r="F7" s="7" t="s">
        <v>12</v>
      </c>
      <c r="G7" s="6" t="n">
        <v>2</v>
      </c>
      <c r="H7" s="6" t="n">
        <v>15</v>
      </c>
      <c r="I7" s="5" t="s">
        <v>13</v>
      </c>
    </row>
    <row r="8" customFormat="false" ht="15" hidden="false" customHeight="false" outlineLevel="0" collapsed="false">
      <c r="A8" s="3" t="n">
        <v>7</v>
      </c>
      <c r="B8" s="4" t="s">
        <v>25</v>
      </c>
      <c r="C8" s="3" t="s">
        <v>10</v>
      </c>
      <c r="D8" s="3" t="n">
        <v>5</v>
      </c>
      <c r="E8" s="4" t="s">
        <v>19</v>
      </c>
      <c r="F8" s="4" t="s">
        <v>12</v>
      </c>
      <c r="G8" s="3" t="n">
        <v>2</v>
      </c>
      <c r="H8" s="3" t="n">
        <v>38</v>
      </c>
      <c r="I8" s="9" t="s">
        <v>21</v>
      </c>
    </row>
    <row r="9" customFormat="false" ht="15" hidden="false" customHeight="false" outlineLevel="0" collapsed="false">
      <c r="A9" s="6" t="n">
        <v>8</v>
      </c>
      <c r="B9" s="7" t="s">
        <v>26</v>
      </c>
      <c r="C9" s="6" t="s">
        <v>10</v>
      </c>
      <c r="D9" s="6" t="n">
        <v>3</v>
      </c>
      <c r="E9" s="7" t="s">
        <v>19</v>
      </c>
      <c r="F9" s="7" t="s">
        <v>12</v>
      </c>
      <c r="G9" s="6" t="n">
        <v>2</v>
      </c>
      <c r="H9" s="6" t="n">
        <v>24</v>
      </c>
      <c r="I9" s="8" t="s">
        <v>17</v>
      </c>
    </row>
    <row r="10" customFormat="false" ht="15" hidden="false" customHeight="false" outlineLevel="0" collapsed="false">
      <c r="A10" s="3" t="n">
        <v>9</v>
      </c>
      <c r="B10" s="4" t="s">
        <v>27</v>
      </c>
      <c r="C10" s="3" t="s">
        <v>10</v>
      </c>
      <c r="D10" s="3" t="n">
        <v>2</v>
      </c>
      <c r="E10" s="4" t="s">
        <v>15</v>
      </c>
      <c r="F10" s="4" t="s">
        <v>16</v>
      </c>
      <c r="G10" s="3" t="n">
        <v>3</v>
      </c>
      <c r="H10" s="3" t="n">
        <v>31</v>
      </c>
      <c r="I10" s="9" t="s">
        <v>21</v>
      </c>
    </row>
    <row r="11" customFormat="false" ht="15" hidden="false" customHeight="false" outlineLevel="0" collapsed="false">
      <c r="A11" s="6" t="n">
        <v>10</v>
      </c>
      <c r="B11" s="7" t="s">
        <v>28</v>
      </c>
      <c r="C11" s="6" t="s">
        <v>10</v>
      </c>
      <c r="D11" s="6" t="n">
        <v>4</v>
      </c>
      <c r="E11" s="7" t="s">
        <v>19</v>
      </c>
      <c r="F11" s="7" t="s">
        <v>12</v>
      </c>
      <c r="G11" s="6" t="n">
        <v>2</v>
      </c>
      <c r="H11" s="6" t="n">
        <v>26</v>
      </c>
      <c r="I11" s="8" t="s">
        <v>17</v>
      </c>
    </row>
    <row r="12" customFormat="false" ht="15" hidden="false" customHeight="false" outlineLevel="0" collapsed="false">
      <c r="A12" s="3" t="n">
        <v>11</v>
      </c>
      <c r="B12" s="4" t="s">
        <v>29</v>
      </c>
      <c r="C12" s="3" t="s">
        <v>10</v>
      </c>
      <c r="D12" s="3" t="n">
        <v>3</v>
      </c>
      <c r="E12" s="4" t="s">
        <v>19</v>
      </c>
      <c r="F12" s="4" t="s">
        <v>12</v>
      </c>
      <c r="G12" s="3" t="n">
        <v>1</v>
      </c>
      <c r="H12" s="3" t="n">
        <v>12</v>
      </c>
      <c r="I12" s="5" t="s">
        <v>13</v>
      </c>
    </row>
    <row r="13" customFormat="false" ht="15" hidden="false" customHeight="false" outlineLevel="0" collapsed="false">
      <c r="A13" s="6" t="n">
        <v>12</v>
      </c>
      <c r="B13" s="7" t="s">
        <v>30</v>
      </c>
      <c r="C13" s="6" t="s">
        <v>10</v>
      </c>
      <c r="D13" s="6" t="n">
        <v>5</v>
      </c>
      <c r="E13" s="7" t="s">
        <v>19</v>
      </c>
      <c r="F13" s="7" t="s">
        <v>12</v>
      </c>
      <c r="G13" s="6" t="n">
        <v>2</v>
      </c>
      <c r="H13" s="6" t="n">
        <v>29</v>
      </c>
      <c r="I13" s="8" t="s">
        <v>17</v>
      </c>
    </row>
    <row r="14" customFormat="false" ht="15" hidden="false" customHeight="false" outlineLevel="0" collapsed="false">
      <c r="A14" s="3" t="n">
        <v>13</v>
      </c>
      <c r="B14" s="4" t="s">
        <v>31</v>
      </c>
      <c r="C14" s="3" t="s">
        <v>10</v>
      </c>
      <c r="D14" s="3" t="n">
        <v>2</v>
      </c>
      <c r="E14" s="4" t="s">
        <v>32</v>
      </c>
      <c r="F14" s="4" t="s">
        <v>12</v>
      </c>
      <c r="G14" s="3" t="n">
        <v>2</v>
      </c>
      <c r="H14" s="3" t="n">
        <v>19</v>
      </c>
      <c r="I14" s="5" t="s">
        <v>13</v>
      </c>
    </row>
    <row r="15" customFormat="false" ht="15" hidden="false" customHeight="false" outlineLevel="0" collapsed="false">
      <c r="A15" s="6" t="n">
        <v>14</v>
      </c>
      <c r="B15" s="7" t="s">
        <v>33</v>
      </c>
      <c r="C15" s="6" t="s">
        <v>10</v>
      </c>
      <c r="D15" s="6" t="n">
        <v>6</v>
      </c>
      <c r="E15" s="7" t="s">
        <v>19</v>
      </c>
      <c r="F15" s="7" t="s">
        <v>12</v>
      </c>
      <c r="G15" s="6" t="n">
        <v>2</v>
      </c>
      <c r="H15" s="6" t="n">
        <v>33</v>
      </c>
      <c r="I15" s="9" t="s">
        <v>21</v>
      </c>
    </row>
    <row r="16" customFormat="false" ht="15" hidden="false" customHeight="false" outlineLevel="0" collapsed="false">
      <c r="A16" s="3" t="n">
        <v>15</v>
      </c>
      <c r="B16" s="4" t="s">
        <v>34</v>
      </c>
      <c r="C16" s="3" t="s">
        <v>10</v>
      </c>
      <c r="D16" s="3" t="n">
        <v>1</v>
      </c>
      <c r="E16" s="4" t="s">
        <v>24</v>
      </c>
      <c r="F16" s="4" t="s">
        <v>12</v>
      </c>
      <c r="G16" s="3" t="n">
        <v>1</v>
      </c>
      <c r="H16" s="3" t="n">
        <v>8</v>
      </c>
      <c r="I16" s="5" t="s">
        <v>13</v>
      </c>
    </row>
    <row r="17" customFormat="false" ht="15" hidden="false" customHeight="false" outlineLevel="0" collapsed="false">
      <c r="A17" s="6" t="n">
        <v>16</v>
      </c>
      <c r="B17" s="7" t="s">
        <v>35</v>
      </c>
      <c r="C17" s="6" t="s">
        <v>10</v>
      </c>
      <c r="D17" s="6" t="n">
        <v>3</v>
      </c>
      <c r="E17" s="7" t="s">
        <v>19</v>
      </c>
      <c r="F17" s="7" t="s">
        <v>12</v>
      </c>
      <c r="G17" s="6" t="n">
        <v>2</v>
      </c>
      <c r="H17" s="6" t="n">
        <v>25</v>
      </c>
      <c r="I17" s="8" t="s">
        <v>17</v>
      </c>
    </row>
    <row r="18" customFormat="false" ht="15" hidden="false" customHeight="false" outlineLevel="0" collapsed="false">
      <c r="A18" s="3" t="n">
        <v>17</v>
      </c>
      <c r="B18" s="4" t="s">
        <v>36</v>
      </c>
      <c r="C18" s="3" t="s">
        <v>10</v>
      </c>
      <c r="D18" s="3" t="n">
        <v>4</v>
      </c>
      <c r="E18" s="4" t="s">
        <v>19</v>
      </c>
      <c r="F18" s="4" t="s">
        <v>16</v>
      </c>
      <c r="G18" s="3" t="n">
        <v>3</v>
      </c>
      <c r="H18" s="3" t="n">
        <v>40</v>
      </c>
      <c r="I18" s="9" t="s">
        <v>21</v>
      </c>
    </row>
    <row r="19" customFormat="false" ht="15" hidden="false" customHeight="false" outlineLevel="0" collapsed="false">
      <c r="A19" s="6" t="n">
        <v>18</v>
      </c>
      <c r="B19" s="7" t="s">
        <v>37</v>
      </c>
      <c r="C19" s="6" t="s">
        <v>10</v>
      </c>
      <c r="D19" s="6" t="n">
        <v>2</v>
      </c>
      <c r="E19" s="7" t="s">
        <v>24</v>
      </c>
      <c r="F19" s="7" t="s">
        <v>12</v>
      </c>
      <c r="G19" s="6" t="n">
        <v>1</v>
      </c>
      <c r="H19" s="6" t="n">
        <v>10</v>
      </c>
      <c r="I19" s="5" t="s">
        <v>13</v>
      </c>
    </row>
    <row r="20" customFormat="false" ht="15" hidden="false" customHeight="false" outlineLevel="0" collapsed="false">
      <c r="A20" s="3" t="n">
        <v>19</v>
      </c>
      <c r="B20" s="4" t="s">
        <v>38</v>
      </c>
      <c r="C20" s="3" t="s">
        <v>39</v>
      </c>
      <c r="D20" s="3" t="n">
        <v>6</v>
      </c>
      <c r="E20" s="4" t="s">
        <v>19</v>
      </c>
      <c r="F20" s="4" t="s">
        <v>12</v>
      </c>
      <c r="G20" s="3" t="n">
        <v>4</v>
      </c>
      <c r="H20" s="3" t="n">
        <v>22</v>
      </c>
      <c r="I20" s="8" t="s">
        <v>17</v>
      </c>
    </row>
    <row r="21" customFormat="false" ht="15" hidden="false" customHeight="false" outlineLevel="0" collapsed="false">
      <c r="A21" s="6" t="n">
        <v>20</v>
      </c>
      <c r="B21" s="7" t="s">
        <v>40</v>
      </c>
      <c r="C21" s="6" t="s">
        <v>39</v>
      </c>
      <c r="D21" s="6" t="n">
        <v>1</v>
      </c>
      <c r="E21" s="7" t="s">
        <v>24</v>
      </c>
      <c r="F21" s="7" t="s">
        <v>12</v>
      </c>
      <c r="G21" s="6" t="n">
        <v>2</v>
      </c>
      <c r="H21" s="6" t="n">
        <v>21</v>
      </c>
      <c r="I21" s="8" t="s">
        <v>17</v>
      </c>
    </row>
    <row r="22" customFormat="false" ht="15" hidden="false" customHeight="false" outlineLevel="0" collapsed="false">
      <c r="A22" s="3" t="n">
        <v>21</v>
      </c>
      <c r="B22" s="4" t="s">
        <v>41</v>
      </c>
      <c r="C22" s="3" t="s">
        <v>39</v>
      </c>
      <c r="D22" s="3" t="n">
        <v>1</v>
      </c>
      <c r="E22" s="4" t="s">
        <v>24</v>
      </c>
      <c r="F22" s="4" t="s">
        <v>12</v>
      </c>
      <c r="G22" s="3" t="n">
        <v>1</v>
      </c>
      <c r="H22" s="3" t="n">
        <v>2</v>
      </c>
      <c r="I22" s="5" t="s">
        <v>13</v>
      </c>
    </row>
    <row r="23" customFormat="false" ht="15" hidden="false" customHeight="false" outlineLevel="0" collapsed="false">
      <c r="A23" s="6" t="n">
        <v>22</v>
      </c>
      <c r="B23" s="7" t="s">
        <v>42</v>
      </c>
      <c r="C23" s="6" t="s">
        <v>39</v>
      </c>
      <c r="D23" s="6" t="n">
        <v>1</v>
      </c>
      <c r="E23" s="7" t="s">
        <v>24</v>
      </c>
      <c r="F23" s="7" t="s">
        <v>12</v>
      </c>
      <c r="G23" s="6" t="n">
        <v>2</v>
      </c>
      <c r="H23" s="6" t="n">
        <v>701</v>
      </c>
      <c r="I23" s="9" t="s">
        <v>21</v>
      </c>
    </row>
    <row r="24" customFormat="false" ht="15" hidden="false" customHeight="false" outlineLevel="0" collapsed="false">
      <c r="A24" s="3" t="n">
        <v>23</v>
      </c>
      <c r="B24" s="4" t="s">
        <v>43</v>
      </c>
      <c r="C24" s="3" t="s">
        <v>39</v>
      </c>
      <c r="D24" s="3" t="n">
        <v>1</v>
      </c>
      <c r="E24" s="4" t="s">
        <v>24</v>
      </c>
      <c r="F24" s="4" t="s">
        <v>12</v>
      </c>
      <c r="G24" s="3" t="n">
        <v>2</v>
      </c>
      <c r="H24" s="3" t="n">
        <v>15</v>
      </c>
      <c r="I24" s="8" t="s">
        <v>17</v>
      </c>
    </row>
    <row r="25" customFormat="false" ht="15" hidden="false" customHeight="false" outlineLevel="0" collapsed="false">
      <c r="A25" s="6" t="n">
        <v>24</v>
      </c>
      <c r="B25" s="7" t="s">
        <v>44</v>
      </c>
      <c r="C25" s="6" t="s">
        <v>39</v>
      </c>
      <c r="D25" s="6" t="n">
        <v>1</v>
      </c>
      <c r="E25" s="7" t="s">
        <v>24</v>
      </c>
      <c r="F25" s="7" t="s">
        <v>12</v>
      </c>
      <c r="G25" s="6" t="n">
        <v>2</v>
      </c>
      <c r="H25" s="6" t="n">
        <v>22</v>
      </c>
      <c r="I25" s="8" t="s">
        <v>17</v>
      </c>
    </row>
    <row r="26" customFormat="false" ht="15" hidden="false" customHeight="false" outlineLevel="0" collapsed="false">
      <c r="A26" s="3" t="n">
        <v>25</v>
      </c>
      <c r="B26" s="4" t="s">
        <v>45</v>
      </c>
      <c r="C26" s="3" t="s">
        <v>39</v>
      </c>
      <c r="D26" s="3" t="n">
        <v>1</v>
      </c>
      <c r="E26" s="4" t="s">
        <v>24</v>
      </c>
      <c r="F26" s="4" t="s">
        <v>12</v>
      </c>
      <c r="G26" s="3" t="n">
        <v>2</v>
      </c>
      <c r="H26" s="3" t="n">
        <v>30</v>
      </c>
      <c r="I26" s="8" t="s">
        <v>17</v>
      </c>
    </row>
    <row r="27" customFormat="false" ht="15" hidden="false" customHeight="false" outlineLevel="0" collapsed="false">
      <c r="A27" s="6" t="n">
        <v>26</v>
      </c>
      <c r="B27" s="7" t="s">
        <v>46</v>
      </c>
      <c r="C27" s="6" t="s">
        <v>39</v>
      </c>
      <c r="D27" s="6" t="n">
        <v>6</v>
      </c>
      <c r="E27" s="7" t="s">
        <v>19</v>
      </c>
      <c r="F27" s="7" t="s">
        <v>12</v>
      </c>
      <c r="G27" s="6" t="n">
        <v>2</v>
      </c>
      <c r="H27" s="6" t="n">
        <v>49</v>
      </c>
      <c r="I27" s="9" t="s">
        <v>21</v>
      </c>
    </row>
    <row r="28" customFormat="false" ht="15" hidden="false" customHeight="false" outlineLevel="0" collapsed="false">
      <c r="A28" s="3" t="n">
        <v>27</v>
      </c>
      <c r="B28" s="4" t="s">
        <v>47</v>
      </c>
      <c r="C28" s="3" t="s">
        <v>39</v>
      </c>
      <c r="D28" s="3" t="n">
        <v>6</v>
      </c>
      <c r="E28" s="4" t="s">
        <v>19</v>
      </c>
      <c r="F28" s="4" t="s">
        <v>12</v>
      </c>
      <c r="G28" s="3" t="n">
        <v>2</v>
      </c>
      <c r="H28" s="3" t="n">
        <v>21</v>
      </c>
      <c r="I28" s="8" t="s">
        <v>17</v>
      </c>
    </row>
    <row r="29" customFormat="false" ht="15" hidden="false" customHeight="false" outlineLevel="0" collapsed="false">
      <c r="A29" s="6" t="n">
        <v>28</v>
      </c>
      <c r="B29" s="7" t="s">
        <v>48</v>
      </c>
      <c r="C29" s="6" t="s">
        <v>39</v>
      </c>
      <c r="D29" s="6" t="n">
        <v>13</v>
      </c>
      <c r="E29" s="7" t="s">
        <v>19</v>
      </c>
      <c r="F29" s="7" t="s">
        <v>12</v>
      </c>
      <c r="G29" s="6" t="n">
        <v>2</v>
      </c>
      <c r="H29" s="6" t="n">
        <v>20</v>
      </c>
      <c r="I29" s="8" t="s">
        <v>17</v>
      </c>
    </row>
    <row r="30" customFormat="false" ht="15" hidden="false" customHeight="false" outlineLevel="0" collapsed="false">
      <c r="A30" s="3" t="n">
        <v>29</v>
      </c>
      <c r="B30" s="4" t="s">
        <v>49</v>
      </c>
      <c r="C30" s="3" t="s">
        <v>39</v>
      </c>
      <c r="D30" s="3" t="n">
        <v>5</v>
      </c>
      <c r="E30" s="4" t="s">
        <v>19</v>
      </c>
      <c r="F30" s="4" t="s">
        <v>12</v>
      </c>
      <c r="G30" s="3" t="n">
        <v>2</v>
      </c>
      <c r="H30" s="3" t="n">
        <v>14</v>
      </c>
      <c r="I30" s="8" t="s">
        <v>17</v>
      </c>
    </row>
    <row r="31" customFormat="false" ht="15" hidden="false" customHeight="false" outlineLevel="0" collapsed="false">
      <c r="A31" s="6" t="n">
        <v>30</v>
      </c>
      <c r="B31" s="7" t="s">
        <v>50</v>
      </c>
      <c r="C31" s="6" t="s">
        <v>39</v>
      </c>
      <c r="D31" s="6" t="n">
        <v>1</v>
      </c>
      <c r="E31" s="7" t="s">
        <v>24</v>
      </c>
      <c r="F31" s="7" t="s">
        <v>12</v>
      </c>
      <c r="G31" s="6" t="n">
        <v>8</v>
      </c>
      <c r="H31" s="6" t="n">
        <v>140</v>
      </c>
      <c r="I31" s="9" t="s">
        <v>21</v>
      </c>
    </row>
    <row r="32" customFormat="false" ht="15" hidden="false" customHeight="false" outlineLevel="0" collapsed="false">
      <c r="A32" s="3" t="n">
        <v>31</v>
      </c>
      <c r="B32" s="4" t="s">
        <v>51</v>
      </c>
      <c r="C32" s="3" t="s">
        <v>39</v>
      </c>
      <c r="D32" s="3" t="n">
        <v>1</v>
      </c>
      <c r="E32" s="4" t="s">
        <v>24</v>
      </c>
      <c r="F32" s="4" t="s">
        <v>12</v>
      </c>
      <c r="G32" s="3" t="n">
        <v>2</v>
      </c>
      <c r="H32" s="3" t="n">
        <v>7</v>
      </c>
      <c r="I32" s="5" t="s">
        <v>13</v>
      </c>
    </row>
    <row r="33" customFormat="false" ht="15" hidden="false" customHeight="false" outlineLevel="0" collapsed="false">
      <c r="A33" s="10" t="s">
        <v>52</v>
      </c>
      <c r="C33" s="11" t="n">
        <f aca="false">COUNTA(C2:C32)</f>
        <v>31</v>
      </c>
      <c r="D33" s="11" t="n">
        <f aca="false">SUM(D2:D32)</f>
        <v>106</v>
      </c>
      <c r="G33" s="11" t="n">
        <f aca="false">SUM(G2:G32)</f>
        <v>68</v>
      </c>
      <c r="H33" s="11" t="n">
        <f aca="false">AVERAGE(H2:H32)</f>
        <v>49</v>
      </c>
    </row>
  </sheetData>
  <autoFilter ref="A1:I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2" t="s">
        <v>53</v>
      </c>
      <c r="B1" s="2" t="s">
        <v>54</v>
      </c>
      <c r="C1" s="2" t="s">
        <v>55</v>
      </c>
      <c r="D1" s="2" t="s">
        <v>56</v>
      </c>
    </row>
    <row r="2" customFormat="false" ht="15" hidden="false" customHeight="false" outlineLevel="0" collapsed="false">
      <c r="A2" s="12" t="s">
        <v>13</v>
      </c>
      <c r="B2" s="12" t="n">
        <v>8</v>
      </c>
      <c r="C2" s="12" t="s">
        <v>57</v>
      </c>
      <c r="D2" s="13" t="s">
        <v>58</v>
      </c>
    </row>
    <row r="3" customFormat="false" ht="35.05" hidden="false" customHeight="false" outlineLevel="0" collapsed="false">
      <c r="A3" s="14" t="s">
        <v>17</v>
      </c>
      <c r="B3" s="14" t="n">
        <v>15</v>
      </c>
      <c r="C3" s="14" t="s">
        <v>59</v>
      </c>
      <c r="D3" s="15" t="s">
        <v>60</v>
      </c>
    </row>
    <row r="4" customFormat="false" ht="23.85" hidden="false" customHeight="false" outlineLevel="0" collapsed="false">
      <c r="A4" s="12" t="s">
        <v>21</v>
      </c>
      <c r="B4" s="12" t="n">
        <v>8</v>
      </c>
      <c r="C4" s="12" t="s">
        <v>57</v>
      </c>
      <c r="D4" s="13" t="s">
        <v>61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2" t="s">
        <v>4</v>
      </c>
      <c r="B1" s="2" t="s">
        <v>54</v>
      </c>
      <c r="C1" s="2" t="s">
        <v>55</v>
      </c>
    </row>
    <row r="2" customFormat="false" ht="15" hidden="false" customHeight="false" outlineLevel="0" collapsed="false">
      <c r="A2" s="3" t="s">
        <v>19</v>
      </c>
      <c r="B2" s="3" t="n">
        <v>17</v>
      </c>
      <c r="C2" s="3" t="s">
        <v>62</v>
      </c>
    </row>
    <row r="3" customFormat="false" ht="15" hidden="false" customHeight="false" outlineLevel="0" collapsed="false">
      <c r="A3" s="6" t="s">
        <v>24</v>
      </c>
      <c r="B3" s="6" t="n">
        <v>11</v>
      </c>
      <c r="C3" s="6" t="s">
        <v>63</v>
      </c>
    </row>
    <row r="4" customFormat="false" ht="15" hidden="false" customHeight="false" outlineLevel="0" collapsed="false">
      <c r="A4" s="3" t="s">
        <v>15</v>
      </c>
      <c r="B4" s="3" t="n">
        <v>4</v>
      </c>
      <c r="C4" s="3" t="s">
        <v>64</v>
      </c>
    </row>
    <row r="5" customFormat="false" ht="15" hidden="false" customHeight="false" outlineLevel="0" collapsed="false">
      <c r="A5" s="6" t="s">
        <v>32</v>
      </c>
      <c r="B5" s="6" t="n">
        <v>2</v>
      </c>
      <c r="C5" s="6" t="s">
        <v>65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2" t="s">
        <v>66</v>
      </c>
      <c r="B1" s="2" t="s">
        <v>54</v>
      </c>
      <c r="C1" s="2" t="s">
        <v>55</v>
      </c>
    </row>
    <row r="2" customFormat="false" ht="15" hidden="false" customHeight="false" outlineLevel="0" collapsed="false">
      <c r="A2" s="3" t="s">
        <v>67</v>
      </c>
      <c r="B2" s="3" t="n">
        <v>26</v>
      </c>
      <c r="C2" s="3" t="s">
        <v>68</v>
      </c>
    </row>
    <row r="3" customFormat="false" ht="15" hidden="false" customHeight="false" outlineLevel="0" collapsed="false">
      <c r="A3" s="6" t="s">
        <v>69</v>
      </c>
      <c r="B3" s="6" t="n">
        <v>5</v>
      </c>
      <c r="C3" s="6" t="s">
        <v>70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6" min="4" style="0" width="10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2" t="s">
        <v>71</v>
      </c>
      <c r="B1" s="2" t="s">
        <v>72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73</v>
      </c>
    </row>
    <row r="2" customFormat="false" ht="15" hidden="false" customHeight="false" outlineLevel="0" collapsed="false">
      <c r="A2" s="12" t="s">
        <v>74</v>
      </c>
      <c r="B2" s="13" t="s">
        <v>75</v>
      </c>
      <c r="C2" s="13" t="s">
        <v>76</v>
      </c>
      <c r="D2" s="12" t="n">
        <v>9</v>
      </c>
      <c r="E2" s="12" t="n">
        <v>1</v>
      </c>
      <c r="F2" s="13" t="s">
        <v>12</v>
      </c>
      <c r="G2" s="16" t="s">
        <v>77</v>
      </c>
    </row>
    <row r="3" customFormat="false" ht="15" hidden="false" customHeight="false" outlineLevel="0" collapsed="false">
      <c r="A3" s="14" t="s">
        <v>74</v>
      </c>
      <c r="B3" s="15" t="s">
        <v>75</v>
      </c>
      <c r="C3" s="15" t="s">
        <v>78</v>
      </c>
      <c r="D3" s="14" t="n">
        <v>49</v>
      </c>
      <c r="E3" s="14" t="n">
        <v>1</v>
      </c>
      <c r="F3" s="15" t="s">
        <v>12</v>
      </c>
      <c r="G3" s="17" t="s">
        <v>77</v>
      </c>
    </row>
    <row r="4" customFormat="false" ht="15" hidden="false" customHeight="false" outlineLevel="0" collapsed="false">
      <c r="A4" s="12" t="s">
        <v>79</v>
      </c>
      <c r="B4" s="13" t="s">
        <v>80</v>
      </c>
      <c r="C4" s="13" t="s">
        <v>81</v>
      </c>
      <c r="D4" s="12" t="n">
        <v>18</v>
      </c>
      <c r="E4" s="12" t="n">
        <v>2</v>
      </c>
      <c r="F4" s="13" t="s">
        <v>12</v>
      </c>
      <c r="G4" s="16" t="s">
        <v>82</v>
      </c>
    </row>
    <row r="5" customFormat="false" ht="15" hidden="false" customHeight="false" outlineLevel="0" collapsed="false">
      <c r="A5" s="14" t="s">
        <v>79</v>
      </c>
      <c r="B5" s="15" t="s">
        <v>80</v>
      </c>
      <c r="C5" s="15" t="s">
        <v>83</v>
      </c>
      <c r="D5" s="14" t="n">
        <v>93</v>
      </c>
      <c r="E5" s="14" t="n">
        <v>2</v>
      </c>
      <c r="F5" s="15" t="s">
        <v>12</v>
      </c>
      <c r="G5" s="17" t="s">
        <v>82</v>
      </c>
    </row>
    <row r="6" customFormat="false" ht="15" hidden="false" customHeight="false" outlineLevel="0" collapsed="false">
      <c r="A6" s="12" t="s">
        <v>79</v>
      </c>
      <c r="B6" s="13" t="s">
        <v>80</v>
      </c>
      <c r="C6" s="13" t="s">
        <v>84</v>
      </c>
      <c r="D6" s="12" t="n">
        <v>90</v>
      </c>
      <c r="E6" s="12" t="n">
        <v>2</v>
      </c>
      <c r="F6" s="13" t="s">
        <v>12</v>
      </c>
      <c r="G6" s="16" t="s">
        <v>82</v>
      </c>
    </row>
    <row r="7" customFormat="false" ht="15" hidden="false" customHeight="false" outlineLevel="0" collapsed="false">
      <c r="A7" s="14" t="s">
        <v>85</v>
      </c>
      <c r="B7" s="15" t="s">
        <v>86</v>
      </c>
      <c r="C7" s="15" t="s">
        <v>87</v>
      </c>
      <c r="D7" s="14" t="n">
        <v>66</v>
      </c>
      <c r="E7" s="14" t="n">
        <v>3</v>
      </c>
      <c r="F7" s="15" t="s">
        <v>12</v>
      </c>
      <c r="G7" s="15" t="s">
        <v>88</v>
      </c>
    </row>
    <row r="8" customFormat="false" ht="15" hidden="false" customHeight="false" outlineLevel="0" collapsed="false">
      <c r="A8" s="12" t="s">
        <v>85</v>
      </c>
      <c r="B8" s="13" t="s">
        <v>86</v>
      </c>
      <c r="C8" s="13" t="s">
        <v>89</v>
      </c>
      <c r="D8" s="12" t="n">
        <v>110</v>
      </c>
      <c r="E8" s="12" t="n">
        <v>3</v>
      </c>
      <c r="F8" s="13" t="s">
        <v>90</v>
      </c>
      <c r="G8" s="13" t="s">
        <v>88</v>
      </c>
    </row>
    <row r="9" customFormat="false" ht="15" hidden="false" customHeight="false" outlineLevel="0" collapsed="false">
      <c r="A9" s="14" t="s">
        <v>85</v>
      </c>
      <c r="B9" s="15" t="s">
        <v>86</v>
      </c>
      <c r="C9" s="15" t="s">
        <v>91</v>
      </c>
      <c r="D9" s="14" t="n">
        <v>357</v>
      </c>
      <c r="E9" s="14" t="n">
        <v>3</v>
      </c>
      <c r="F9" s="15" t="s">
        <v>12</v>
      </c>
      <c r="G9" s="15" t="s">
        <v>92</v>
      </c>
    </row>
    <row r="10" customFormat="false" ht="15" hidden="false" customHeight="false" outlineLevel="0" collapsed="false">
      <c r="A10" s="12" t="s">
        <v>93</v>
      </c>
      <c r="B10" s="13" t="s">
        <v>94</v>
      </c>
      <c r="C10" s="13" t="s">
        <v>95</v>
      </c>
      <c r="D10" s="12" t="n">
        <v>379</v>
      </c>
      <c r="E10" s="12" t="n">
        <v>7</v>
      </c>
      <c r="F10" s="13" t="s">
        <v>12</v>
      </c>
      <c r="G10" s="16" t="s">
        <v>96</v>
      </c>
    </row>
    <row r="11" customFormat="false" ht="15" hidden="false" customHeight="false" outlineLevel="0" collapsed="false">
      <c r="A11" s="14" t="s">
        <v>93</v>
      </c>
      <c r="B11" s="15" t="s">
        <v>94</v>
      </c>
      <c r="C11" s="15" t="s">
        <v>97</v>
      </c>
      <c r="D11" s="14" t="n">
        <v>288</v>
      </c>
      <c r="E11" s="14" t="n">
        <v>7</v>
      </c>
      <c r="F11" s="15" t="s">
        <v>90</v>
      </c>
      <c r="G11" s="17" t="s">
        <v>96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2026-02-08T04:54:40Z</dcterms:created>
  <dc:creator>openpyxl</dc:creator>
  <dc:description/>
  <dc:language>en-US</dc:language>
  <cp:lastModifiedBy/>
  <dcterms:modified xsi:type="dcterms:W3CDTF">2026-02-08T04:54:40Z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